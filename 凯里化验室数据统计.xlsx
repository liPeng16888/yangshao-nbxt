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/>
  </bookViews>
  <sheets>
    <sheet name="2026.6.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<sst xmlns="http://schemas.openxmlformats.org/spreadsheetml/2006/main" count="167" uniqueCount="36">
  <si>
    <t xml:space="preserve">6月日仰韶化验数据统计																						</t>
  </si>
  <si>
    <t>铁空白</t>
  </si>
  <si>
    <t>铁系数</t>
  </si>
  <si>
    <t>硅空白</t>
  </si>
  <si>
    <t>硅系数</t>
  </si>
  <si>
    <t>铝系数1</t>
  </si>
  <si>
    <t>铝系数2</t>
  </si>
  <si>
    <t>钙系数</t>
  </si>
  <si>
    <t>镁系数</t>
  </si>
  <si>
    <t>钛系数</t>
  </si>
  <si>
    <t>29.1</t>
  </si>
  <si>
    <t>编号</t>
  </si>
  <si>
    <t>来样单位/样品编号</t>
  </si>
  <si>
    <t>铁</t>
  </si>
  <si>
    <t>硅</t>
  </si>
  <si>
    <t>调整数</t>
  </si>
  <si>
    <t>铝</t>
  </si>
  <si>
    <t>铝硅比</t>
  </si>
  <si>
    <t>合量</t>
  </si>
  <si>
    <t>硫</t>
  </si>
  <si>
    <t>比重</t>
  </si>
  <si>
    <t>白度</t>
  </si>
  <si>
    <t>钙</t>
  </si>
  <si>
    <t>镁</t>
  </si>
  <si>
    <t>碳</t>
  </si>
  <si>
    <t>钛</t>
  </si>
  <si>
    <t>样</t>
  </si>
  <si>
    <t>瓶+水</t>
  </si>
  <si>
    <t>瓶+水+样</t>
  </si>
  <si>
    <t>水份</t>
  </si>
  <si>
    <t>坩埚</t>
  </si>
  <si>
    <t>样重</t>
  </si>
  <si>
    <t>烧坩埚+样</t>
  </si>
  <si>
    <t>化验元素</t>
  </si>
  <si>
    <t>备注</t>
  </si>
  <si>
    <t>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</si>
</sst>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35">
    <font>
      <sz val="10"/>
      <color theme="1"/>
      <name val="宋体"/>
      <charset val="134"/>
      <scheme val="minor"/>
    </font>
    <font>
      <sz val="14"/>
      <name val="宋体"/>
      <charset val="134"/>
      <scheme val="minor"/>
    </font>
    <font>
      <sz val="16"/>
      <name val="宋体"/>
      <charset val="134"/>
      <scheme val="minor"/>
    </font>
    <font>
      <sz val="22"/>
      <name val="宋体"/>
      <charset val="134"/>
      <scheme val="minor"/>
    </font>
    <font>
      <sz val="14"/>
      <color rgb="FFC00000"/>
      <name val="宋体"/>
      <charset val="134"/>
      <scheme val="minor"/>
    </font>
    <font>
      <u/>
      <sz val="20"/>
      <color rgb="FFFF0000"/>
      <name val="Arial Black"/>
      <charset val="134"/>
    </font>
    <font>
      <u/>
      <sz val="18"/>
      <color rgb="FFFF0000"/>
      <name val="Arial Black"/>
      <charset val="134"/>
    </font>
    <font>
      <sz val="10"/>
      <color rgb="FFFF0000"/>
      <name val="宋体"/>
      <charset val="134"/>
      <scheme val="minor"/>
    </font>
    <font>
      <sz val="10"/>
      <name val="Arial Black"/>
      <charset val="134"/>
    </font>
    <font>
      <sz val="12"/>
      <name val="宋体"/>
      <charset val="134"/>
      <scheme val="minor"/>
    </font>
    <font>
      <sz val="10"/>
      <name val="宋体"/>
      <charset val="134"/>
      <scheme val="minor"/>
    </font>
    <font>
      <sz val="14"/>
      <color rgb="FFC00000"/>
      <name val="Arial Black"/>
      <charset val="134"/>
    </font>
    <font>
      <b/>
      <sz val="14"/>
      <color rgb="FFC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6"/>
      <color rgb="FF00B0F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BF3FF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EFFBF4"/>
        <bgColor indexed="64"/>
      </patternFill>
    </fill>
    <fill>
      <patternFill patternType="solid">
        <fgColor rgb="FFFE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9" borderId="14" applyNumberFormat="0" applyAlignment="0" applyProtection="0">
      <alignment vertical="center"/>
    </xf>
    <xf numFmtId="0" fontId="26" fillId="9" borderId="13" applyNumberFormat="0" applyAlignment="0" applyProtection="0">
      <alignment vertical="center"/>
    </xf>
    <xf numFmtId="0" fontId="27" fillId="10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7" fillId="0" borderId="3" xfId="0" applyFont="1" applyBorder="1">
      <alignment vertical="center"/>
    </xf>
    <xf numFmtId="2" fontId="6" fillId="3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" fillId="5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 wrapText="1"/>
    </xf>
    <xf numFmtId="176" fontId="11" fillId="0" borderId="5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5" xfId="0" applyFont="1" applyBorder="1">
      <alignment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4" xfId="0" applyFont="1" applyBorder="1">
      <alignment vertical="center"/>
    </xf>
    <xf numFmtId="176" fontId="2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0" borderId="1" xfId="0" applyBorder="1">
      <alignment vertical="center"/>
    </xf>
    <xf numFmtId="0" fontId="10" fillId="0" borderId="3" xfId="0" applyFont="1" applyBorder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6" borderId="3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1" fontId="14" fillId="6" borderId="3" xfId="0" applyNumberFormat="1" applyFont="1" applyFill="1" applyBorder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D29"/>
  <sheetViews>
    <sheetView tabSelected="1" zoomScale="84" zoomScaleNormal="84" workbookViewId="0">
      <pane ySplit="4" topLeftCell="A5" activePane="bottomLeft" state="frozen"/>
      <selection/>
      <selection pane="bottomLeft" activeCell="E7" sqref="E7:E8"/>
    </sheetView>
  </sheetViews>
  <sheetFormatPr defaultColWidth="14" defaultRowHeight="18" customHeight="1"/>
  <cols>
    <col min="1" max="1" width="13.7083333333333" customWidth="1"/>
    <col min="2" max="2" width="27.6041666666667" customWidth="1"/>
    <col min="3" max="15" width="13.7083333333333" customWidth="1"/>
    <col min="16" max="16" width="13.625" customWidth="1"/>
    <col min="17" max="21" width="9.4375" customWidth="1"/>
    <col min="22" max="22" width="10.1145833333333" customWidth="1"/>
    <col min="23" max="23" width="11.4583333333333" customWidth="1"/>
    <col min="24" max="30" width="13.7083333333333" customWidth="1"/>
  </cols>
  <sheetData>
    <row r="1" ht="39.75" customHeight="1" spans="1:3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  <c r="X1" s="7"/>
      <c r="Y1" s="7"/>
      <c r="Z1" s="7"/>
      <c r="AA1" s="7"/>
      <c r="AB1" s="7"/>
      <c r="AC1" s="7"/>
      <c r="AD1" s="7"/>
    </row>
    <row r="2" ht="30" customHeight="1" spans="1:30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10" t="s">
        <v>9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7"/>
      <c r="Y2" s="7"/>
      <c r="Z2" s="7"/>
      <c r="AA2" s="7"/>
      <c r="AB2" s="7"/>
      <c r="AC2" s="7"/>
      <c r="AD2" s="7"/>
    </row>
    <row r="3" ht="22.5" customHeight="1" spans="1:30">
      <c r="A3" s="12">
        <v>0.04</v>
      </c>
      <c r="B3" s="13" t="s">
        <v>10</v>
      </c>
      <c r="C3" s="14">
        <v>0.027</v>
      </c>
      <c r="D3" s="14">
        <v>13</v>
      </c>
      <c r="E3" s="14">
        <v>0.502</v>
      </c>
      <c r="F3" s="14">
        <v>4.98</v>
      </c>
      <c r="G3" s="14">
        <v>1.15</v>
      </c>
      <c r="H3" s="14">
        <v>0.556</v>
      </c>
      <c r="I3" s="15">
        <v>0.57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7"/>
      <c r="Y3" s="7"/>
      <c r="Z3" s="7"/>
      <c r="AA3" s="7"/>
      <c r="AB3" s="7"/>
      <c r="AC3" s="7"/>
      <c r="AD3" s="7"/>
    </row>
    <row r="4" ht="22.5" customHeight="1" spans="1:30">
      <c r="A4" s="16"/>
      <c r="B4" s="16"/>
      <c r="C4" s="17"/>
      <c r="D4" s="17"/>
      <c r="E4" s="17"/>
      <c r="F4" s="17"/>
      <c r="G4" s="17"/>
      <c r="H4" s="18"/>
      <c r="I4" s="1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7"/>
      <c r="Y4" s="7"/>
      <c r="Z4" s="7"/>
      <c r="AA4" s="7"/>
      <c r="AB4" s="7"/>
      <c r="AC4" s="7"/>
      <c r="AD4" s="7"/>
    </row>
    <row r="5" ht="22.5" customHeight="1" spans="1:30">
      <c r="A5" s="20"/>
      <c r="B5" s="21"/>
      <c r="C5" s="20"/>
      <c r="D5" s="20"/>
      <c r="E5" s="20"/>
      <c r="F5" s="20"/>
      <c r="G5" s="20"/>
      <c r="H5" s="20"/>
      <c r="I5" s="2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30" customHeight="1" spans="1:30">
      <c r="A6" s="22" t="s">
        <v>11</v>
      </c>
      <c r="B6" s="23" t="s">
        <v>12</v>
      </c>
      <c r="C6" s="22" t="s">
        <v>13</v>
      </c>
      <c r="D6" s="22" t="s">
        <v>14</v>
      </c>
      <c r="E6" s="22" t="s">
        <v>15</v>
      </c>
      <c r="F6" s="22" t="s">
        <v>16</v>
      </c>
      <c r="G6" s="22" t="s">
        <v>15</v>
      </c>
      <c r="H6" s="22" t="s">
        <v>17</v>
      </c>
      <c r="I6" s="22" t="s">
        <v>18</v>
      </c>
      <c r="J6" s="24" t="s">
        <v>19</v>
      </c>
      <c r="K6" s="24" t="s">
        <v>20</v>
      </c>
      <c r="L6" s="24" t="s">
        <v>21</v>
      </c>
      <c r="M6" s="24" t="s">
        <v>22</v>
      </c>
      <c r="N6" s="24" t="s">
        <v>23</v>
      </c>
      <c r="O6" s="24" t="s">
        <v>24</v>
      </c>
      <c r="P6" s="24" t="s">
        <v>25</v>
      </c>
      <c r="Q6" s="24" t="s">
        <v>26</v>
      </c>
      <c r="R6" s="24" t="s">
        <v>27</v>
      </c>
      <c r="S6" s="25" t="s">
        <v>28</v>
      </c>
      <c r="T6" s="26" t="s">
        <v>29</v>
      </c>
      <c r="U6" s="27" t="s">
        <v>30</v>
      </c>
      <c r="V6" s="27" t="s">
        <v>31</v>
      </c>
      <c r="W6" s="27" t="s">
        <v>32</v>
      </c>
      <c r="X6" s="28"/>
      <c r="Y6" s="28"/>
      <c r="Z6" s="28"/>
      <c r="AA6" s="7"/>
      <c r="AB6" s="7"/>
      <c r="AC6" s="7"/>
      <c r="AD6" s="7"/>
    </row>
    <row r="7" s="1" customFormat="1" ht="26.25" customHeight="1" spans="1:30">
      <c r="A7" s="29"/>
      <c r="B7" s="30"/>
      <c r="C7" s="31"/>
      <c r="D7" s="31"/>
      <c r="E7" s="32"/>
      <c r="F7" s="31"/>
      <c r="G7" s="33"/>
      <c r="H7" s="34">
        <f>SUM(F8/D8)</f>
        <v>-257.501370940171</v>
      </c>
      <c r="I7" s="35">
        <f>SUM(F8+D8+C8)</f>
        <v>88.8679812</v>
      </c>
      <c r="J7" s="36"/>
      <c r="K7" s="37"/>
      <c r="L7" s="36"/>
      <c r="M7" s="37"/>
      <c r="N7" s="38"/>
      <c r="O7" s="36"/>
      <c r="P7" s="39"/>
      <c r="Q7" s="8"/>
      <c r="R7" s="8"/>
      <c r="S7" s="40"/>
      <c r="T7" s="41"/>
      <c r="U7" s="42"/>
      <c r="V7" s="42"/>
      <c r="W7" s="42"/>
      <c r="X7" s="43"/>
      <c r="Y7" s="43"/>
      <c r="Z7" s="43"/>
      <c r="AA7" s="43"/>
      <c r="AB7" s="43"/>
      <c r="AC7" s="43"/>
      <c r="AD7" s="43"/>
    </row>
    <row r="8" s="2" customFormat="1" ht="26.25" customHeight="1" spans="1:30">
      <c r="A8" s="44"/>
      <c r="B8" s="44"/>
      <c r="C8" s="45">
        <f>SUM((C7-$A$3)*$B$3)</f>
        <v>-1.164</v>
      </c>
      <c r="D8" s="46">
        <f>SUM((D7-$C$3)*$D$3+E7)</f>
        <v>-0.351</v>
      </c>
      <c r="E8" s="47"/>
      <c r="F8" s="46">
        <f>SUM((((F7*$E$3-18)*$F$3)+C8*0.6383)*-1)-G7</f>
        <v>90.3829812</v>
      </c>
      <c r="G8" s="47"/>
      <c r="H8" s="47"/>
      <c r="I8" s="48"/>
      <c r="J8" s="49"/>
      <c r="K8" s="50" t="e">
        <f>SUM(80/K7)</f>
        <v>#DIV/0!</v>
      </c>
      <c r="L8" s="49"/>
      <c r="M8" s="51">
        <f>SUM(M7*$G$3)</f>
        <v>0</v>
      </c>
      <c r="N8" s="52">
        <f>SUM((N7-M7)*$H$3)</f>
        <v>0</v>
      </c>
      <c r="O8" s="49"/>
      <c r="P8" s="53">
        <f>SUM(P7*$P$3)</f>
        <v>0</v>
      </c>
      <c r="Q8" s="46" t="e">
        <f>SUM(Q7/(Q7+R7-S7)*0.99823)</f>
        <v>#DIV/0!</v>
      </c>
      <c r="R8" s="49"/>
      <c r="S8" s="54"/>
      <c r="T8" s="55"/>
      <c r="U8" s="45" t="e">
        <f>SUM((V7+U7-W7)/V7*100)</f>
        <v>#DIV/0!</v>
      </c>
      <c r="V8" s="56"/>
      <c r="W8" s="56"/>
      <c r="X8" s="57"/>
      <c r="Y8" s="57"/>
      <c r="Z8" s="57"/>
      <c r="AA8" s="57"/>
      <c r="AB8" s="57"/>
      <c r="AC8" s="57"/>
      <c r="AD8" s="57"/>
    </row>
    <row r="9" s="2" customFormat="1" ht="26.25" customHeight="1" spans="1:30">
      <c r="A9" s="44"/>
      <c r="B9" s="44"/>
      <c r="C9" s="58" t="s">
        <v>33</v>
      </c>
      <c r="D9" s="59"/>
      <c r="E9" s="56"/>
      <c r="F9" s="56"/>
      <c r="G9" s="56"/>
      <c r="H9" s="56"/>
      <c r="I9" s="56"/>
      <c r="J9" s="58" t="s">
        <v>34</v>
      </c>
      <c r="K9" s="60" t="s">
        <v>35</v>
      </c>
      <c r="L9" s="17"/>
      <c r="M9" s="17"/>
      <c r="N9" s="17"/>
      <c r="O9" s="17"/>
      <c r="P9" s="60"/>
      <c r="Q9" s="17"/>
      <c r="R9" s="17"/>
      <c r="S9" s="17"/>
      <c r="T9" s="17"/>
      <c r="U9" s="16"/>
      <c r="V9" s="16"/>
      <c r="W9" s="16"/>
      <c r="X9" s="57"/>
      <c r="Y9" s="57"/>
      <c r="Z9" s="57"/>
      <c r="AA9" s="57"/>
      <c r="AB9" s="57"/>
      <c r="AC9" s="57"/>
      <c r="AD9" s="57"/>
    </row>
    <row r="10" ht="18.75" customHeight="1" spans="1:30">
      <c r="A10" s="22" t="s">
        <v>11</v>
      </c>
      <c r="B10" s="23" t="s">
        <v>12</v>
      </c>
      <c r="C10" s="22" t="s">
        <v>13</v>
      </c>
      <c r="D10" s="22" t="s">
        <v>14</v>
      </c>
      <c r="E10" s="22" t="s">
        <v>15</v>
      </c>
      <c r="F10" s="22" t="s">
        <v>16</v>
      </c>
      <c r="G10" s="22" t="s">
        <v>15</v>
      </c>
      <c r="H10" s="22" t="s">
        <v>17</v>
      </c>
      <c r="I10" s="22" t="s">
        <v>18</v>
      </c>
      <c r="J10" s="24" t="s">
        <v>19</v>
      </c>
      <c r="K10" s="24" t="s">
        <v>20</v>
      </c>
      <c r="L10" s="24" t="s">
        <v>21</v>
      </c>
      <c r="M10" s="24" t="s">
        <v>22</v>
      </c>
      <c r="N10" s="24" t="s">
        <v>23</v>
      </c>
      <c r="O10" s="24" t="s">
        <v>24</v>
      </c>
      <c r="P10" s="24" t="s">
        <v>25</v>
      </c>
      <c r="Q10" s="24" t="s">
        <v>26</v>
      </c>
      <c r="R10" s="24" t="s">
        <v>27</v>
      </c>
      <c r="S10" s="25" t="s">
        <v>28</v>
      </c>
      <c r="T10" s="26" t="s">
        <v>29</v>
      </c>
      <c r="U10" s="27" t="s">
        <v>30</v>
      </c>
      <c r="V10" s="27" t="s">
        <v>31</v>
      </c>
      <c r="W10" s="27" t="s">
        <v>32</v>
      </c>
      <c r="X10" s="7"/>
      <c r="Y10" s="7"/>
      <c r="Z10" s="7"/>
      <c r="AA10" s="7"/>
      <c r="AB10" s="7"/>
      <c r="AC10" s="7"/>
      <c r="AD10" s="7"/>
    </row>
    <row r="11" s="1" customFormat="1" ht="26.25" customHeight="1" spans="1:30">
      <c r="A11" s="29"/>
      <c r="B11" s="61"/>
      <c r="C11" s="31"/>
      <c r="D11" s="31"/>
      <c r="E11" s="32"/>
      <c r="F11" s="31"/>
      <c r="G11" s="33"/>
      <c r="H11" s="34">
        <f>SUM(F12/D12)</f>
        <v>-257.501370940171</v>
      </c>
      <c r="I11" s="35">
        <f>SUM(F12+D12+C12)</f>
        <v>88.8679812</v>
      </c>
      <c r="J11" s="36"/>
      <c r="K11" s="37"/>
      <c r="L11" s="36"/>
      <c r="M11" s="37"/>
      <c r="N11" s="38"/>
      <c r="O11" s="36"/>
      <c r="P11" s="39"/>
      <c r="Q11" s="8"/>
      <c r="R11" s="8"/>
      <c r="S11" s="40"/>
      <c r="T11" s="41"/>
      <c r="U11" s="42"/>
      <c r="V11" s="42"/>
      <c r="W11" s="42"/>
      <c r="X11" s="43"/>
      <c r="Y11" s="43"/>
      <c r="Z11" s="43"/>
      <c r="AA11" s="43"/>
      <c r="AB11" s="43"/>
      <c r="AC11" s="43"/>
      <c r="AD11" s="43"/>
    </row>
    <row r="12" s="2" customFormat="1" ht="26.25" customHeight="1" spans="1:30">
      <c r="A12" s="44"/>
      <c r="B12" s="44"/>
      <c r="C12" s="45">
        <f>SUM((C11-$A$3)*$B$3)</f>
        <v>-1.164</v>
      </c>
      <c r="D12" s="46">
        <f>SUM((D11-$C$3)*$D$3+E11)</f>
        <v>-0.351</v>
      </c>
      <c r="E12" s="47"/>
      <c r="F12" s="46">
        <f>SUM((((F11*$E$3-18)*$F$3)+C12*0.6383)*-1)-G11</f>
        <v>90.3829812</v>
      </c>
      <c r="G12" s="47"/>
      <c r="H12" s="47"/>
      <c r="I12" s="48"/>
      <c r="J12" s="49"/>
      <c r="K12" s="50" t="e">
        <f>SUM(80/K11)</f>
        <v>#DIV/0!</v>
      </c>
      <c r="L12" s="49"/>
      <c r="M12" s="51">
        <f>SUM(M11*$G$3)</f>
        <v>0</v>
      </c>
      <c r="N12" s="52">
        <f>SUM((N11-M11)*$H$3)</f>
        <v>0</v>
      </c>
      <c r="O12" s="49"/>
      <c r="P12" s="53">
        <f>SUM(P11*$P$3)</f>
        <v>0</v>
      </c>
      <c r="Q12" s="46" t="e">
        <f>SUM(Q11/(Q11+R11-S11)*0.99823)</f>
        <v>#DIV/0!</v>
      </c>
      <c r="R12" s="49"/>
      <c r="S12" s="54"/>
      <c r="T12" s="54"/>
      <c r="U12" s="45" t="e">
        <f>SUM((V11+U11-W11)/V11*100)</f>
        <v>#DIV/0!</v>
      </c>
      <c r="V12" s="56"/>
      <c r="W12" s="56"/>
      <c r="X12" s="62"/>
      <c r="Y12" s="62"/>
      <c r="Z12" s="62"/>
      <c r="AA12" s="62"/>
      <c r="AB12" s="62"/>
      <c r="AC12" s="62"/>
      <c r="AD12" s="62"/>
    </row>
    <row r="13" s="2" customFormat="1" ht="26.25" customHeight="1" spans="1:30">
      <c r="A13" s="44"/>
      <c r="B13" s="44"/>
      <c r="C13" s="58" t="s">
        <v>33</v>
      </c>
      <c r="D13" s="59"/>
      <c r="E13" s="56"/>
      <c r="F13" s="56"/>
      <c r="G13" s="56"/>
      <c r="H13" s="56"/>
      <c r="I13" s="56"/>
      <c r="J13" s="58" t="s">
        <v>34</v>
      </c>
      <c r="K13" s="60" t="s">
        <v>35</v>
      </c>
      <c r="L13" s="56"/>
      <c r="M13" s="56"/>
      <c r="N13" s="56"/>
      <c r="O13" s="56"/>
      <c r="P13" s="60"/>
      <c r="Q13" s="56"/>
      <c r="R13" s="56"/>
      <c r="S13" s="56"/>
      <c r="T13" s="56"/>
      <c r="U13" s="44"/>
      <c r="V13" s="44"/>
      <c r="W13" s="44"/>
      <c r="X13" s="62"/>
      <c r="Y13" s="62"/>
      <c r="Z13" s="62"/>
      <c r="AA13" s="62"/>
      <c r="AB13" s="62"/>
      <c r="AC13" s="62"/>
      <c r="AD13" s="62"/>
    </row>
    <row r="14" ht="18.75" customHeight="1" spans="1:30">
      <c r="A14" s="22" t="s">
        <v>11</v>
      </c>
      <c r="B14" s="23" t="s">
        <v>12</v>
      </c>
      <c r="C14" s="22" t="s">
        <v>13</v>
      </c>
      <c r="D14" s="22" t="s">
        <v>14</v>
      </c>
      <c r="E14" s="22" t="s">
        <v>15</v>
      </c>
      <c r="F14" s="22" t="s">
        <v>16</v>
      </c>
      <c r="G14" s="22" t="s">
        <v>15</v>
      </c>
      <c r="H14" s="22" t="s">
        <v>17</v>
      </c>
      <c r="I14" s="22" t="s">
        <v>18</v>
      </c>
      <c r="J14" s="24" t="s">
        <v>19</v>
      </c>
      <c r="K14" s="24" t="s">
        <v>20</v>
      </c>
      <c r="L14" s="24" t="s">
        <v>21</v>
      </c>
      <c r="M14" s="24" t="s">
        <v>22</v>
      </c>
      <c r="N14" s="24" t="s">
        <v>23</v>
      </c>
      <c r="O14" s="24" t="s">
        <v>24</v>
      </c>
      <c r="P14" s="24" t="s">
        <v>25</v>
      </c>
      <c r="Q14" s="24" t="s">
        <v>26</v>
      </c>
      <c r="R14" s="24" t="s">
        <v>27</v>
      </c>
      <c r="S14" s="25" t="s">
        <v>28</v>
      </c>
      <c r="T14" s="26" t="s">
        <v>29</v>
      </c>
      <c r="U14" s="27" t="s">
        <v>30</v>
      </c>
      <c r="V14" s="27" t="s">
        <v>31</v>
      </c>
      <c r="W14" s="27" t="s">
        <v>32</v>
      </c>
      <c r="X14" s="7"/>
      <c r="Y14" s="7"/>
      <c r="Z14" s="7"/>
      <c r="AA14" s="7"/>
      <c r="AB14" s="7"/>
      <c r="AC14" s="7"/>
      <c r="AD14" s="7"/>
    </row>
    <row r="15" s="1" customFormat="1" ht="26.25" customHeight="1" spans="1:30">
      <c r="A15" s="29"/>
      <c r="B15" s="61"/>
      <c r="C15" s="31"/>
      <c r="D15" s="31"/>
      <c r="E15" s="32"/>
      <c r="F15" s="31"/>
      <c r="G15" s="33"/>
      <c r="H15" s="34">
        <f>SUM(F16/D16)</f>
        <v>-257.501370940171</v>
      </c>
      <c r="I15" s="35">
        <f>SUM(F16+D16+C16)</f>
        <v>88.8679812</v>
      </c>
      <c r="J15" s="36"/>
      <c r="K15" s="37"/>
      <c r="L15" s="36"/>
      <c r="M15" s="37"/>
      <c r="N15" s="38"/>
      <c r="O15" s="36"/>
      <c r="P15" s="39"/>
      <c r="Q15" s="8"/>
      <c r="R15" s="8"/>
      <c r="S15" s="40"/>
      <c r="T15" s="41"/>
      <c r="U15" s="42"/>
      <c r="V15" s="42"/>
      <c r="W15" s="42"/>
      <c r="X15" s="43"/>
      <c r="Y15" s="43"/>
      <c r="Z15" s="43"/>
      <c r="AA15" s="43"/>
      <c r="AB15" s="43"/>
      <c r="AC15" s="43"/>
      <c r="AD15" s="43"/>
    </row>
    <row r="16" s="2" customFormat="1" ht="26.25" customHeight="1" spans="1:30">
      <c r="A16" s="44"/>
      <c r="B16" s="44"/>
      <c r="C16" s="45">
        <f>SUM((C15-$A$3)*$B$3)</f>
        <v>-1.164</v>
      </c>
      <c r="D16" s="46">
        <f>SUM((D15-$C$3)*$D$3+E15)</f>
        <v>-0.351</v>
      </c>
      <c r="E16" s="47"/>
      <c r="F16" s="46">
        <f>SUM((((F15*$E$3-18)*$F$3)+C16*0.6383)*-1)-G15</f>
        <v>90.3829812</v>
      </c>
      <c r="G16" s="47"/>
      <c r="H16" s="47"/>
      <c r="I16" s="48"/>
      <c r="J16" s="49"/>
      <c r="K16" s="50" t="e">
        <f>SUM(80/K15)</f>
        <v>#DIV/0!</v>
      </c>
      <c r="L16" s="49"/>
      <c r="M16" s="51">
        <f>SUM(M15*$G$3)</f>
        <v>0</v>
      </c>
      <c r="N16" s="52">
        <f>SUM((N15-M15)*$H$3)</f>
        <v>0</v>
      </c>
      <c r="O16" s="49"/>
      <c r="P16" s="53">
        <f>SUM(P15*$P$3)</f>
        <v>0</v>
      </c>
      <c r="Q16" s="46" t="e">
        <f>SUM(Q15/(Q15+R15-S15)*0.99823)</f>
        <v>#DIV/0!</v>
      </c>
      <c r="R16" s="49"/>
      <c r="S16" s="54"/>
      <c r="T16" s="54"/>
      <c r="U16" s="45" t="e">
        <f>SUM((V15+U15-W15)/V15*100)</f>
        <v>#DIV/0!</v>
      </c>
      <c r="V16" s="56"/>
      <c r="W16" s="56"/>
      <c r="X16" s="62"/>
      <c r="Y16" s="62"/>
      <c r="Z16" s="62"/>
      <c r="AA16" s="62"/>
      <c r="AB16" s="62"/>
      <c r="AC16" s="62"/>
      <c r="AD16" s="62"/>
    </row>
    <row r="17" s="2" customFormat="1" ht="26.25" customHeight="1" spans="1:30">
      <c r="A17" s="44"/>
      <c r="B17" s="44"/>
      <c r="C17" s="58" t="s">
        <v>33</v>
      </c>
      <c r="D17" s="59"/>
      <c r="E17" s="56"/>
      <c r="F17" s="56"/>
      <c r="G17" s="56"/>
      <c r="H17" s="56"/>
      <c r="I17" s="56"/>
      <c r="J17" s="58" t="s">
        <v>34</v>
      </c>
      <c r="K17" s="60" t="s">
        <v>35</v>
      </c>
      <c r="L17" s="56"/>
      <c r="M17" s="56"/>
      <c r="N17" s="56"/>
      <c r="O17" s="56"/>
      <c r="P17" s="60"/>
      <c r="Q17" s="56"/>
      <c r="R17" s="56"/>
      <c r="S17" s="56"/>
      <c r="T17" s="56"/>
      <c r="U17" s="44"/>
      <c r="V17" s="44"/>
      <c r="W17" s="44"/>
      <c r="X17" s="62"/>
      <c r="Y17" s="62"/>
      <c r="Z17" s="62"/>
      <c r="AA17" s="62"/>
      <c r="AB17" s="62"/>
      <c r="AC17" s="62"/>
      <c r="AD17" s="62"/>
    </row>
    <row r="18" s="2" customFormat="1" ht="18.75" customHeight="1" spans="1:30">
      <c r="A18" s="22" t="s">
        <v>11</v>
      </c>
      <c r="B18" s="23" t="s">
        <v>12</v>
      </c>
      <c r="C18" s="22" t="s">
        <v>13</v>
      </c>
      <c r="D18" s="22" t="s">
        <v>14</v>
      </c>
      <c r="E18" s="22" t="s">
        <v>15</v>
      </c>
      <c r="F18" s="22" t="s">
        <v>16</v>
      </c>
      <c r="G18" s="22" t="s">
        <v>15</v>
      </c>
      <c r="H18" s="22" t="s">
        <v>17</v>
      </c>
      <c r="I18" s="22" t="s">
        <v>18</v>
      </c>
      <c r="J18" s="24" t="s">
        <v>19</v>
      </c>
      <c r="K18" s="24" t="s">
        <v>20</v>
      </c>
      <c r="L18" s="24" t="s">
        <v>21</v>
      </c>
      <c r="M18" s="24" t="s">
        <v>22</v>
      </c>
      <c r="N18" s="24" t="s">
        <v>23</v>
      </c>
      <c r="O18" s="24" t="s">
        <v>24</v>
      </c>
      <c r="P18" s="24" t="s">
        <v>25</v>
      </c>
      <c r="Q18" s="24" t="s">
        <v>26</v>
      </c>
      <c r="R18" s="24" t="s">
        <v>27</v>
      </c>
      <c r="S18" s="25" t="s">
        <v>28</v>
      </c>
      <c r="T18" s="26" t="s">
        <v>29</v>
      </c>
      <c r="U18" s="27" t="s">
        <v>30</v>
      </c>
      <c r="V18" s="27" t="s">
        <v>31</v>
      </c>
      <c r="W18" s="27" t="s">
        <v>32</v>
      </c>
      <c r="X18" s="7"/>
      <c r="Y18" s="7"/>
      <c r="Z18" s="7"/>
      <c r="AA18" s="7"/>
      <c r="AB18" s="7"/>
      <c r="AC18" s="7"/>
      <c r="AD18" s="7"/>
    </row>
    <row r="19" s="1" customFormat="1" ht="26.25" customHeight="1" spans="1:30">
      <c r="A19" s="29"/>
      <c r="B19" s="61"/>
      <c r="C19" s="31"/>
      <c r="D19" s="31"/>
      <c r="E19" s="32"/>
      <c r="F19" s="31"/>
      <c r="G19" s="33"/>
      <c r="H19" s="34">
        <f>SUM(F20/D20)</f>
        <v>-257.501370940171</v>
      </c>
      <c r="I19" s="35">
        <f>SUM(F20+D20+C20)</f>
        <v>88.8679812</v>
      </c>
      <c r="J19" s="36"/>
      <c r="K19" s="37"/>
      <c r="L19" s="36"/>
      <c r="M19" s="37"/>
      <c r="N19" s="38"/>
      <c r="O19" s="36"/>
      <c r="P19" s="39"/>
      <c r="Q19" s="8"/>
      <c r="R19" s="8"/>
      <c r="S19" s="40"/>
      <c r="T19" s="41"/>
      <c r="U19" s="42"/>
      <c r="V19" s="42"/>
      <c r="W19" s="42"/>
      <c r="X19" s="43"/>
      <c r="Y19" s="43"/>
      <c r="Z19" s="43"/>
      <c r="AA19" s="43"/>
      <c r="AB19" s="43"/>
      <c r="AC19" s="43"/>
      <c r="AD19" s="43"/>
    </row>
    <row r="20" s="2" customFormat="1" ht="26.25" customHeight="1" spans="1:30">
      <c r="A20" s="44"/>
      <c r="B20" s="44"/>
      <c r="C20" s="45">
        <f>SUM((C19-$A$3)*$B$3)</f>
        <v>-1.164</v>
      </c>
      <c r="D20" s="46">
        <f>SUM((D19-$C$3)*$D$3+E19)</f>
        <v>-0.351</v>
      </c>
      <c r="E20" s="47"/>
      <c r="F20" s="46">
        <f>SUM((((F19*$E$3-18)*$F$3)+C20*0.6383)*-1)-G19</f>
        <v>90.3829812</v>
      </c>
      <c r="G20" s="47"/>
      <c r="H20" s="47"/>
      <c r="I20" s="48"/>
      <c r="J20" s="49"/>
      <c r="K20" s="50" t="e">
        <f>SUM(80/K19)</f>
        <v>#DIV/0!</v>
      </c>
      <c r="L20" s="49"/>
      <c r="M20" s="51">
        <f>SUM(M19*$G$3)</f>
        <v>0</v>
      </c>
      <c r="N20" s="52">
        <f>SUM((N19-M19)*$H$3)</f>
        <v>0</v>
      </c>
      <c r="O20" s="49"/>
      <c r="P20" s="53">
        <f>SUM(P19*$P$3)</f>
        <v>0</v>
      </c>
      <c r="Q20" s="46" t="e">
        <f>SUM(Q19/(Q19+R19-S19)*0.99823)</f>
        <v>#DIV/0!</v>
      </c>
      <c r="R20" s="49"/>
      <c r="S20" s="54"/>
      <c r="T20" s="54"/>
      <c r="U20" s="45" t="e">
        <f>SUM((V19+U19-W19)/V19*100)</f>
        <v>#DIV/0!</v>
      </c>
      <c r="V20" s="56"/>
      <c r="W20" s="56"/>
      <c r="X20" s="62"/>
      <c r="Y20" s="62"/>
      <c r="Z20" s="62"/>
      <c r="AA20" s="62"/>
      <c r="AB20" s="62"/>
      <c r="AC20" s="62"/>
      <c r="AD20" s="62"/>
    </row>
    <row r="21" s="2" customFormat="1" ht="26.25" customHeight="1" spans="1:30">
      <c r="A21" s="44"/>
      <c r="B21" s="44"/>
      <c r="C21" s="58" t="s">
        <v>33</v>
      </c>
      <c r="D21" s="59"/>
      <c r="E21" s="56"/>
      <c r="F21" s="56"/>
      <c r="G21" s="56"/>
      <c r="H21" s="56"/>
      <c r="I21" s="56"/>
      <c r="J21" s="58" t="s">
        <v>34</v>
      </c>
      <c r="K21" s="60" t="s">
        <v>35</v>
      </c>
      <c r="L21" s="56"/>
      <c r="M21" s="56"/>
      <c r="N21" s="56"/>
      <c r="O21" s="56"/>
      <c r="P21" s="60"/>
      <c r="Q21" s="56"/>
      <c r="R21" s="56"/>
      <c r="S21" s="56"/>
      <c r="T21" s="56"/>
      <c r="U21" s="44"/>
      <c r="V21" s="44"/>
      <c r="W21" s="44"/>
      <c r="X21" s="62"/>
      <c r="Y21" s="62"/>
      <c r="Z21" s="62"/>
      <c r="AA21" s="62"/>
      <c r="AB21" s="62"/>
      <c r="AC21" s="62"/>
      <c r="AD21" s="62"/>
    </row>
    <row r="22" ht="18.75" customHeight="1" spans="1:30">
      <c r="A22" s="22" t="s">
        <v>11</v>
      </c>
      <c r="B22" s="23" t="s">
        <v>12</v>
      </c>
      <c r="C22" s="22" t="s">
        <v>13</v>
      </c>
      <c r="D22" s="22" t="s">
        <v>14</v>
      </c>
      <c r="E22" s="22" t="s">
        <v>15</v>
      </c>
      <c r="F22" s="22" t="s">
        <v>16</v>
      </c>
      <c r="G22" s="22" t="s">
        <v>15</v>
      </c>
      <c r="H22" s="22" t="s">
        <v>17</v>
      </c>
      <c r="I22" s="22" t="s">
        <v>18</v>
      </c>
      <c r="J22" s="24" t="s">
        <v>19</v>
      </c>
      <c r="K22" s="24" t="s">
        <v>20</v>
      </c>
      <c r="L22" s="24" t="s">
        <v>21</v>
      </c>
      <c r="M22" s="24" t="s">
        <v>22</v>
      </c>
      <c r="N22" s="24" t="s">
        <v>23</v>
      </c>
      <c r="O22" s="24" t="s">
        <v>24</v>
      </c>
      <c r="P22" s="24" t="s">
        <v>25</v>
      </c>
      <c r="Q22" s="24" t="s">
        <v>26</v>
      </c>
      <c r="R22" s="24" t="s">
        <v>27</v>
      </c>
      <c r="S22" s="25" t="s">
        <v>28</v>
      </c>
      <c r="T22" s="26" t="s">
        <v>29</v>
      </c>
      <c r="U22" s="27" t="s">
        <v>30</v>
      </c>
      <c r="V22" s="27" t="s">
        <v>31</v>
      </c>
      <c r="W22" s="27" t="s">
        <v>32</v>
      </c>
      <c r="X22" s="7"/>
      <c r="Y22" s="28"/>
      <c r="Z22" s="28"/>
      <c r="AA22" s="28"/>
      <c r="AB22" s="28"/>
      <c r="AC22" s="28"/>
      <c r="AD22" s="28"/>
    </row>
    <row r="23" s="1" customFormat="1" ht="26.25" customHeight="1" spans="1:30">
      <c r="A23" s="29"/>
      <c r="B23" s="61"/>
      <c r="C23" s="31"/>
      <c r="D23" s="31"/>
      <c r="E23" s="32"/>
      <c r="F23" s="31"/>
      <c r="G23" s="33"/>
      <c r="H23" s="34">
        <f>SUM(F24/D24)</f>
        <v>-257.501370940171</v>
      </c>
      <c r="I23" s="35">
        <f>SUM(F24+D24+C24)</f>
        <v>88.8679812</v>
      </c>
      <c r="J23" s="36"/>
      <c r="K23" s="37"/>
      <c r="L23" s="36"/>
      <c r="M23" s="37"/>
      <c r="N23" s="38"/>
      <c r="O23" s="36"/>
      <c r="P23" s="39"/>
      <c r="Q23" s="8"/>
      <c r="R23" s="8"/>
      <c r="S23" s="40"/>
      <c r="T23" s="41"/>
      <c r="U23" s="42"/>
      <c r="V23" s="42"/>
      <c r="W23" s="42"/>
      <c r="X23" s="43"/>
      <c r="Y23" s="43"/>
      <c r="Z23" s="43"/>
      <c r="AA23" s="43"/>
      <c r="AB23" s="43"/>
      <c r="AC23" s="43"/>
      <c r="AD23" s="43"/>
    </row>
    <row r="24" s="2" customFormat="1" ht="26.25" customHeight="1" spans="1:30">
      <c r="A24" s="44"/>
      <c r="B24" s="44"/>
      <c r="C24" s="45">
        <f>SUM((C23-$A$3)*$B$3)</f>
        <v>-1.164</v>
      </c>
      <c r="D24" s="46">
        <f>SUM((D23-$C$3)*$D$3+E23)</f>
        <v>-0.351</v>
      </c>
      <c r="E24" s="47"/>
      <c r="F24" s="46">
        <f>SUM((((F23*$E$3-18)*$F$3)+C24*0.6383)*-1)-G23</f>
        <v>90.3829812</v>
      </c>
      <c r="G24" s="47"/>
      <c r="H24" s="47"/>
      <c r="I24" s="48"/>
      <c r="J24" s="49"/>
      <c r="K24" s="50" t="e">
        <f>SUM(80/K23)</f>
        <v>#DIV/0!</v>
      </c>
      <c r="L24" s="49"/>
      <c r="M24" s="51">
        <f>SUM(M23*$G$3)</f>
        <v>0</v>
      </c>
      <c r="N24" s="52">
        <f>SUM((N23-M23)*$H$3)</f>
        <v>0</v>
      </c>
      <c r="O24" s="49"/>
      <c r="P24" s="53">
        <f>SUM(P23*$P$3)</f>
        <v>0</v>
      </c>
      <c r="Q24" s="46" t="e">
        <f>SUM(Q23/(Q23+R23-S23)*0.99823)</f>
        <v>#DIV/0!</v>
      </c>
      <c r="R24" s="49"/>
      <c r="S24" s="54"/>
      <c r="T24" s="54"/>
      <c r="U24" s="45" t="e">
        <f>SUM((V23+U23-W23)/V23*100)</f>
        <v>#DIV/0!</v>
      </c>
      <c r="V24" s="56"/>
      <c r="W24" s="56"/>
      <c r="X24" s="62"/>
      <c r="Y24" s="62"/>
      <c r="Z24" s="62"/>
      <c r="AA24" s="62"/>
      <c r="AB24" s="62"/>
      <c r="AC24" s="62"/>
      <c r="AD24" s="62"/>
    </row>
    <row r="25" s="2" customFormat="1" ht="26.25" customHeight="1" spans="1:30">
      <c r="A25" s="44"/>
      <c r="B25" s="44"/>
      <c r="C25" s="58" t="s">
        <v>33</v>
      </c>
      <c r="D25" s="59"/>
      <c r="E25" s="56"/>
      <c r="F25" s="56"/>
      <c r="G25" s="56"/>
      <c r="H25" s="56"/>
      <c r="I25" s="56"/>
      <c r="J25" s="58" t="s">
        <v>34</v>
      </c>
      <c r="K25" s="60" t="s">
        <v>35</v>
      </c>
      <c r="L25" s="56"/>
      <c r="M25" s="56"/>
      <c r="N25" s="56"/>
      <c r="O25" s="56"/>
      <c r="P25" s="60"/>
      <c r="Q25" s="56"/>
      <c r="R25" s="56"/>
      <c r="S25" s="56"/>
      <c r="T25" s="56"/>
      <c r="U25" s="44"/>
      <c r="V25" s="44"/>
      <c r="W25" s="44"/>
      <c r="X25" s="62"/>
      <c r="Y25" s="62"/>
      <c r="Z25" s="62"/>
      <c r="AA25" s="62"/>
      <c r="AB25" s="62"/>
      <c r="AC25" s="62"/>
      <c r="AD25" s="62"/>
    </row>
    <row r="26" ht="18.75" customHeight="1" spans="1:30">
      <c r="A26" s="22" t="s">
        <v>11</v>
      </c>
      <c r="B26" s="23" t="s">
        <v>12</v>
      </c>
      <c r="C26" s="22" t="s">
        <v>13</v>
      </c>
      <c r="D26" s="22" t="s">
        <v>14</v>
      </c>
      <c r="E26" s="22" t="s">
        <v>15</v>
      </c>
      <c r="F26" s="22" t="s">
        <v>16</v>
      </c>
      <c r="G26" s="22" t="s">
        <v>15</v>
      </c>
      <c r="H26" s="22" t="s">
        <v>17</v>
      </c>
      <c r="I26" s="22" t="s">
        <v>18</v>
      </c>
      <c r="J26" s="24" t="s">
        <v>19</v>
      </c>
      <c r="K26" s="24" t="s">
        <v>20</v>
      </c>
      <c r="L26" s="24" t="s">
        <v>21</v>
      </c>
      <c r="M26" s="24" t="s">
        <v>22</v>
      </c>
      <c r="N26" s="24" t="s">
        <v>23</v>
      </c>
      <c r="O26" s="24" t="s">
        <v>24</v>
      </c>
      <c r="P26" s="24" t="s">
        <v>25</v>
      </c>
      <c r="Q26" s="24" t="s">
        <v>26</v>
      </c>
      <c r="R26" s="24" t="s">
        <v>27</v>
      </c>
      <c r="S26" s="25" t="s">
        <v>28</v>
      </c>
      <c r="T26" s="26" t="s">
        <v>29</v>
      </c>
      <c r="U26" s="27" t="s">
        <v>30</v>
      </c>
      <c r="V26" s="27" t="s">
        <v>31</v>
      </c>
      <c r="W26" s="27" t="s">
        <v>32</v>
      </c>
      <c r="X26" s="7"/>
      <c r="Y26" s="28"/>
      <c r="Z26" s="28"/>
      <c r="AA26" s="28"/>
      <c r="AB26" s="28"/>
      <c r="AC26" s="28"/>
      <c r="AD26" s="28"/>
    </row>
    <row r="27" s="1" customFormat="1" ht="26.25" customHeight="1" spans="1:30">
      <c r="A27" s="29"/>
      <c r="B27" s="61"/>
      <c r="C27" s="31"/>
      <c r="D27" s="31"/>
      <c r="E27" s="32"/>
      <c r="F27" s="31"/>
      <c r="G27" s="33"/>
      <c r="H27" s="34">
        <f>SUM(F28/D28)</f>
        <v>-257.501370940171</v>
      </c>
      <c r="I27" s="35">
        <f>SUM(F28+D28+C28)</f>
        <v>88.8679812</v>
      </c>
      <c r="J27" s="36"/>
      <c r="K27" s="37"/>
      <c r="L27" s="36"/>
      <c r="M27" s="37"/>
      <c r="N27" s="38"/>
      <c r="O27" s="36"/>
      <c r="P27" s="39"/>
      <c r="Q27" s="8"/>
      <c r="R27" s="8"/>
      <c r="S27" s="40"/>
      <c r="T27" s="41"/>
      <c r="U27" s="42"/>
      <c r="V27" s="42"/>
      <c r="W27" s="42"/>
      <c r="X27" s="43"/>
      <c r="Y27" s="43"/>
      <c r="Z27" s="43"/>
      <c r="AA27" s="43"/>
      <c r="AB27" s="43"/>
      <c r="AC27" s="43"/>
      <c r="AD27" s="43"/>
    </row>
    <row r="28" s="2" customFormat="1" ht="26.25" customHeight="1" spans="1:30">
      <c r="A28" s="44"/>
      <c r="B28" s="44"/>
      <c r="C28" s="45">
        <f>SUM((C27-$A$3)*$B$3)</f>
        <v>-1.164</v>
      </c>
      <c r="D28" s="46">
        <f>SUM((D27-$C$3)*$D$3+E27)</f>
        <v>-0.351</v>
      </c>
      <c r="E28" s="47"/>
      <c r="F28" s="46">
        <f>SUM((((F27*$E$3-18)*$F$3)+C28*0.6383)*-1)-G27</f>
        <v>90.3829812</v>
      </c>
      <c r="G28" s="47"/>
      <c r="H28" s="47"/>
      <c r="I28" s="48"/>
      <c r="J28" s="49"/>
      <c r="K28" s="50" t="e">
        <f>SUM(80/K27)</f>
        <v>#DIV/0!</v>
      </c>
      <c r="L28" s="49"/>
      <c r="M28" s="51">
        <f>SUM(M27*$G$3)</f>
        <v>0</v>
      </c>
      <c r="N28" s="52">
        <f>SUM((N27-M27)*$H$3)</f>
        <v>0</v>
      </c>
      <c r="O28" s="49"/>
      <c r="P28" s="53">
        <f>SUM(P27*$P$3)</f>
        <v>0</v>
      </c>
      <c r="Q28" s="46" t="e">
        <f>SUM(Q27/(Q27+R27-S27)*0.99823)</f>
        <v>#DIV/0!</v>
      </c>
      <c r="R28" s="49"/>
      <c r="S28" s="54"/>
      <c r="T28" s="54"/>
      <c r="U28" s="45" t="e">
        <f>SUM((V27+U27-W27)/V27*100)</f>
        <v>#DIV/0!</v>
      </c>
      <c r="V28" s="56"/>
      <c r="W28" s="56"/>
      <c r="X28" s="62"/>
      <c r="Y28" s="62"/>
      <c r="Z28" s="62"/>
      <c r="AA28" s="62"/>
      <c r="AB28" s="62"/>
      <c r="AC28" s="62"/>
      <c r="AD28" s="62"/>
    </row>
    <row r="29" s="2" customFormat="1" ht="26.25" customHeight="1" spans="1:30">
      <c r="A29" s="44"/>
      <c r="B29" s="44"/>
      <c r="C29" s="58" t="s">
        <v>33</v>
      </c>
      <c r="D29" s="59"/>
      <c r="E29" s="56"/>
      <c r="F29" s="56"/>
      <c r="G29" s="56"/>
      <c r="H29" s="56"/>
      <c r="I29" s="56"/>
      <c r="J29" s="58" t="s">
        <v>34</v>
      </c>
      <c r="K29" s="60" t="s">
        <v>35</v>
      </c>
      <c r="L29" s="56"/>
      <c r="M29" s="56"/>
      <c r="N29" s="56"/>
      <c r="O29" s="56"/>
      <c r="P29" s="60"/>
      <c r="Q29" s="56"/>
      <c r="R29" s="56"/>
      <c r="S29" s="56"/>
      <c r="T29" s="56"/>
      <c r="U29" s="44"/>
      <c r="V29" s="44"/>
      <c r="W29" s="44"/>
      <c r="X29" s="62"/>
      <c r="Y29" s="62"/>
      <c r="Z29" s="62"/>
      <c r="AA29" s="62"/>
      <c r="AB29" s="62"/>
      <c r="AC29" s="62"/>
      <c r="AD29" s="62"/>
    </row>
  </sheetData>
  <mergeCells count="95">
    <mergeCell ref="A1:W1"/>
    <mergeCell ref="Q8:S8"/>
    <mergeCell ref="U8:W8"/>
    <mergeCell ref="D9:I9"/>
    <mergeCell ref="K9:W9"/>
    <mergeCell ref="Q12:S12"/>
    <mergeCell ref="U12:W12"/>
    <mergeCell ref="D13:I13"/>
    <mergeCell ref="K13:W13"/>
    <mergeCell ref="Q16:S16"/>
    <mergeCell ref="U16:W16"/>
    <mergeCell ref="D17:I17"/>
    <mergeCell ref="K17:W17"/>
    <mergeCell ref="Q20:S20"/>
    <mergeCell ref="U20:W20"/>
    <mergeCell ref="D21:I21"/>
    <mergeCell ref="K21:W21"/>
    <mergeCell ref="Q24:S24"/>
    <mergeCell ref="U24:W24"/>
    <mergeCell ref="D25:I25"/>
    <mergeCell ref="K25:W25"/>
    <mergeCell ref="Q28:S28"/>
    <mergeCell ref="U28:W28"/>
    <mergeCell ref="D29:I29"/>
    <mergeCell ref="K29:W29"/>
    <mergeCell ref="A3:A4"/>
    <mergeCell ref="A7:A9"/>
    <mergeCell ref="A11:A13"/>
    <mergeCell ref="A15:A17"/>
    <mergeCell ref="A19:A21"/>
    <mergeCell ref="A23:A25"/>
    <mergeCell ref="A27:A29"/>
    <mergeCell ref="B3:B4"/>
    <mergeCell ref="B7:B9"/>
    <mergeCell ref="B11:B13"/>
    <mergeCell ref="B15:B17"/>
    <mergeCell ref="B19:B21"/>
    <mergeCell ref="B23:B25"/>
    <mergeCell ref="B27:B29"/>
    <mergeCell ref="C3:C4"/>
    <mergeCell ref="D3:D4"/>
    <mergeCell ref="E3:E4"/>
    <mergeCell ref="E7:E8"/>
    <mergeCell ref="E11:E12"/>
    <mergeCell ref="E15:E16"/>
    <mergeCell ref="E19:E20"/>
    <mergeCell ref="E23:E24"/>
    <mergeCell ref="E27:E28"/>
    <mergeCell ref="F3:F4"/>
    <mergeCell ref="G3:G4"/>
    <mergeCell ref="G7:G8"/>
    <mergeCell ref="G11:G12"/>
    <mergeCell ref="G15:G16"/>
    <mergeCell ref="G19:G20"/>
    <mergeCell ref="G23:G24"/>
    <mergeCell ref="G27:G28"/>
    <mergeCell ref="H3:H4"/>
    <mergeCell ref="H7:H8"/>
    <mergeCell ref="H11:H12"/>
    <mergeCell ref="H15:H16"/>
    <mergeCell ref="H19:H20"/>
    <mergeCell ref="H23:H24"/>
    <mergeCell ref="H27:H28"/>
    <mergeCell ref="I3:I4"/>
    <mergeCell ref="I7:I8"/>
    <mergeCell ref="I11:I12"/>
    <mergeCell ref="I15:I16"/>
    <mergeCell ref="I19:I20"/>
    <mergeCell ref="I23:I24"/>
    <mergeCell ref="I27:I28"/>
    <mergeCell ref="J7:J8"/>
    <mergeCell ref="J11:J12"/>
    <mergeCell ref="J15:J16"/>
    <mergeCell ref="J19:J20"/>
    <mergeCell ref="J23:J24"/>
    <mergeCell ref="J27:J28"/>
    <mergeCell ref="L7:L8"/>
    <mergeCell ref="L11:L12"/>
    <mergeCell ref="L15:L16"/>
    <mergeCell ref="L19:L20"/>
    <mergeCell ref="L23:L24"/>
    <mergeCell ref="L27:L28"/>
    <mergeCell ref="O7:O8"/>
    <mergeCell ref="O11:O12"/>
    <mergeCell ref="O15:O16"/>
    <mergeCell ref="O19:O20"/>
    <mergeCell ref="O23:O24"/>
    <mergeCell ref="O27:O28"/>
    <mergeCell ref="T7:T8"/>
    <mergeCell ref="T11:T12"/>
    <mergeCell ref="T15:T16"/>
    <mergeCell ref="T19:T20"/>
    <mergeCell ref="T23:T24"/>
    <mergeCell ref="T27:T28"/>
    <mergeCell ref="J2:W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2026.6.23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zhangpengfei</dc:creator>
  <cp:lastModifiedBy>zhangpengfei</cp:lastModifiedBy>
  <dcterms:created xsi:type="dcterms:W3CDTF">2026-06-24T12:40:54Z</dcterms:created>
  <dcterms:modified xsi:type="dcterms:W3CDTF">2026-06-24T12:55:28Z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84A7FFA678CE4FD640633B6AE3AF72B2_43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